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00000000-0000-0000-0000-000000000000}"/>
  <workbookPr showInkAnnotation="0" codeName="ThisWorkbook" autoCompressPictures="0"/>
  <bookViews>
    <workbookView xWindow="360" yWindow="0" windowWidth="18580" windowHeight="16500" tabRatio="566" firstSheet="1" activeTab="1"/>
  </bookViews>
  <sheets>
    <sheet name="ProgrammerNotes" sheetId="2" state="hidden" r:id="rId1"/>
    <sheet name="1DRFLAH-HYDM" sheetId="9" r:id="rId2"/>
    <sheet name="FunctionList" sheetId="1" state="hidden" r:id="rId3"/>
  </sheets>
  <functionGroups builtInGroupCount="17"/>
  <externalReferences>
    <externalReference r:id="rId4"/>
  </externalReferences>
  <definedNames>
    <definedName name="EEXP" function="1" xlm="1" functionGroupId="14">'[1]EEXP(Z)'!$A$1</definedName>
    <definedName name="erfcc" function="1" xlm="1" functionGroupId="14">'[1]ERFCC(Z)'!$E$1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1" l="1"/>
  <c r="B30" i="9"/>
  <c r="C34" i="9"/>
  <c r="B28" i="9"/>
  <c r="D34" i="9"/>
  <c r="E34" i="9"/>
  <c r="F34" i="9"/>
  <c r="H34" i="9"/>
  <c r="C35" i="9"/>
  <c r="D35" i="9"/>
  <c r="E35" i="9"/>
  <c r="F35" i="9"/>
  <c r="H35" i="9"/>
  <c r="C36" i="9"/>
  <c r="D36" i="9"/>
  <c r="E36" i="9"/>
  <c r="F36" i="9"/>
  <c r="H36" i="9"/>
  <c r="C37" i="9"/>
  <c r="D37" i="9"/>
  <c r="E37" i="9"/>
  <c r="F37" i="9"/>
  <c r="H37" i="9"/>
  <c r="C38" i="9"/>
  <c r="D38" i="9"/>
  <c r="E38" i="9"/>
  <c r="F38" i="9"/>
  <c r="H38" i="9"/>
  <c r="C39" i="9"/>
  <c r="D39" i="9"/>
  <c r="E39" i="9"/>
  <c r="F39" i="9"/>
  <c r="H39" i="9"/>
  <c r="C40" i="9"/>
  <c r="D40" i="9"/>
  <c r="E40" i="9"/>
  <c r="F40" i="9"/>
  <c r="H40" i="9"/>
  <c r="C41" i="9"/>
  <c r="D41" i="9"/>
  <c r="E41" i="9"/>
  <c r="F41" i="9"/>
  <c r="H41" i="9"/>
  <c r="C42" i="9"/>
  <c r="D42" i="9"/>
  <c r="E42" i="9"/>
  <c r="F42" i="9"/>
  <c r="H42" i="9"/>
  <c r="C43" i="9"/>
  <c r="D43" i="9"/>
  <c r="E43" i="9"/>
  <c r="F43" i="9"/>
  <c r="H43" i="9"/>
  <c r="C44" i="9"/>
  <c r="D44" i="9"/>
  <c r="E44" i="9"/>
  <c r="F44" i="9"/>
  <c r="H44" i="9"/>
  <c r="H46" i="9"/>
  <c r="B31" i="9"/>
  <c r="D17" i="9"/>
  <c r="H17" i="9"/>
  <c r="J17" i="9"/>
  <c r="B29" i="9"/>
  <c r="F17" i="9"/>
  <c r="D16" i="9"/>
  <c r="H16" i="9"/>
  <c r="J16" i="9"/>
  <c r="F16" i="9"/>
  <c r="H4" i="1"/>
</calcChain>
</file>

<file path=xl/sharedStrings.xml><?xml version="1.0" encoding="utf-8"?>
<sst xmlns="http://schemas.openxmlformats.org/spreadsheetml/2006/main" count="91" uniqueCount="87">
  <si>
    <t>List of VBA Macro functions</t>
  </si>
  <si>
    <t>ARGUMENTS</t>
  </si>
  <si>
    <t>NAME</t>
  </si>
  <si>
    <t>FUNCTION</t>
  </si>
  <si>
    <t>REFERENCE</t>
  </si>
  <si>
    <t>ARG-1</t>
  </si>
  <si>
    <t>ARG-2</t>
  </si>
  <si>
    <t>ARG-3</t>
  </si>
  <si>
    <t>ARG-4</t>
  </si>
  <si>
    <t>RESULT</t>
  </si>
  <si>
    <t>ProgrammerNotes</t>
  </si>
  <si>
    <t>NOTE_ID</t>
  </si>
  <si>
    <t>DATE</t>
  </si>
  <si>
    <t>NOTE</t>
  </si>
  <si>
    <t>Put VBA functions into a code module saved with the spreadsheet</t>
  </si>
  <si>
    <t>Coded EEXP,ERFCC, and ERFF from 1996 spreadsheets (that still work -- go figure!)</t>
  </si>
  <si>
    <t>Some built-in functions need "WorksheetFunction.NAME" to access in VBA code</t>
  </si>
  <si>
    <t xml:space="preserve">Method: </t>
  </si>
  <si>
    <t>Chart Title</t>
  </si>
  <si>
    <t>Author:</t>
  </si>
  <si>
    <t>Dr. T.G. Cleveland for CIVE6361/7332 Students; Spring 1995</t>
  </si>
  <si>
    <t>Notes:</t>
  </si>
  <si>
    <t>Macros:</t>
  </si>
  <si>
    <t>Computed Constants</t>
  </si>
  <si>
    <t>W(U)</t>
  </si>
  <si>
    <t>W(U,B)</t>
  </si>
  <si>
    <t>Exponential Integral</t>
  </si>
  <si>
    <t xml:space="preserve">References: </t>
  </si>
  <si>
    <t>REMARKS</t>
  </si>
  <si>
    <t>u</t>
  </si>
  <si>
    <t>Well Functions contained in Module1 as local to this worksheet macros</t>
  </si>
  <si>
    <t>Model Name</t>
  </si>
  <si>
    <t>Q</t>
  </si>
  <si>
    <t>&lt;=gpm</t>
  </si>
  <si>
    <t>&lt;=ft^3/min</t>
  </si>
  <si>
    <t>&lt;=ft^3/day</t>
  </si>
  <si>
    <t>&lt;=m^3/min</t>
  </si>
  <si>
    <t>&lt;=m^3/day</t>
  </si>
  <si>
    <t>T</t>
  </si>
  <si>
    <t>&lt;=ft^2/min</t>
  </si>
  <si>
    <t>&lt;=ft^2/day</t>
  </si>
  <si>
    <t>&lt;=gpm/ft</t>
  </si>
  <si>
    <t>Input Data (must use consistent length and time units!)</t>
  </si>
  <si>
    <t>Item</t>
  </si>
  <si>
    <t>Value</t>
  </si>
  <si>
    <t>Units</t>
  </si>
  <si>
    <t>Description</t>
  </si>
  <si>
    <t>ft^3/min</t>
  </si>
  <si>
    <t>Pumping well discharge (L^3/t)</t>
  </si>
  <si>
    <t>ft^2/min</t>
  </si>
  <si>
    <t>Aquifer transmissivity (L^2/t)</t>
  </si>
  <si>
    <t>S</t>
  </si>
  <si>
    <t>Aquifer storage coefficient</t>
  </si>
  <si>
    <t>r</t>
  </si>
  <si>
    <t>Radial distance of observation well from pumping well (L)</t>
  </si>
  <si>
    <t>Time</t>
  </si>
  <si>
    <t>Model Type:</t>
  </si>
  <si>
    <t>Hydraulic Model</t>
  </si>
  <si>
    <t>Infinite Confined Aquifer</t>
  </si>
  <si>
    <t>Steady Pumping at Origin</t>
  </si>
  <si>
    <t>Uses Polynomial approximation to well function (see references)</t>
  </si>
  <si>
    <t>&lt;=m^2/day</t>
  </si>
  <si>
    <t>&lt;=m^2/min</t>
  </si>
  <si>
    <t>Conversion Calculator (Use GoalSeek to find U.S Customary values for SI Units)</t>
  </si>
  <si>
    <t>Observed Drawdown (ft)</t>
  </si>
  <si>
    <t>Elapsed Time (min)</t>
  </si>
  <si>
    <t>Tested 11 Nov 2015 against Wenzel tabulation</t>
  </si>
  <si>
    <t>K'</t>
  </si>
  <si>
    <t>ft/min</t>
  </si>
  <si>
    <t>Aquitard vertical hydraulic conductivity (L/t)</t>
  </si>
  <si>
    <t>b'</t>
  </si>
  <si>
    <t>ft</t>
  </si>
  <si>
    <t>Thickness of aquitard (L)</t>
  </si>
  <si>
    <t>B</t>
  </si>
  <si>
    <t>r/B</t>
  </si>
  <si>
    <t>Error^2</t>
  </si>
  <si>
    <t>W(u,r/B)</t>
  </si>
  <si>
    <t>Hantush</t>
  </si>
  <si>
    <t>W(U),LEAKY(U,V)</t>
  </si>
  <si>
    <t>1D_radial_flow_leaky_aquifer_transient_hantush</t>
  </si>
  <si>
    <t>Drawdown at radial distance, r, for different time values t in leaky aquifer system</t>
  </si>
  <si>
    <r>
      <t>Q/4</t>
    </r>
    <r>
      <rPr>
        <sz val="12"/>
        <rFont val="Symbol"/>
      </rPr>
      <t>p</t>
    </r>
    <r>
      <rPr>
        <sz val="12"/>
        <rFont val="Calibri"/>
        <scheme val="minor"/>
      </rPr>
      <t>T</t>
    </r>
  </si>
  <si>
    <t>Drawdown (ft)</t>
  </si>
  <si>
    <t xml:space="preserve">Radial Distance (ft) </t>
  </si>
  <si>
    <t>SSE</t>
  </si>
  <si>
    <t>Rewrite in VBA Mac Excel 2011 Fall 2015</t>
  </si>
  <si>
    <t>Tested 11 Nov 2015 against 1995 Hunt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</si>
</sst>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Calibri"/>
      <family val="2"/>
      <scheme val="minor"/>
    </font>
    <font>
      <sz val="12"/>
      <name val="Calibri"/>
      <scheme val="minor"/>
    </font>
    <font>
      <sz val="12"/>
      <name val="Symbo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2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textRotation="90"/>
    </xf>
    <xf numFmtId="15" fontId="0" fillId="0" borderId="0" xfId="0" applyNumberFormat="1"/>
    <xf numFmtId="0" fontId="1" fillId="0" borderId="0" xfId="0" applyFont="1"/>
    <xf numFmtId="0" fontId="0" fillId="0" borderId="0" xfId="0" applyFont="1"/>
    <xf numFmtId="0" fontId="1" fillId="0" borderId="0" xfId="0" applyFont="1" applyAlignment="1">
      <alignment textRotation="90"/>
    </xf>
    <xf numFmtId="0" fontId="5" fillId="0" borderId="0" xfId="0" applyFont="1"/>
    <xf numFmtId="0" fontId="0" fillId="0" borderId="0" xfId="0" quotePrefix="1" applyFont="1"/>
    <xf numFmtId="0" fontId="0" fillId="0" borderId="0" xfId="0" applyFont="1" applyAlignment="1">
      <alignment textRotation="90"/>
    </xf>
    <xf numFmtId="0" fontId="0" fillId="0" borderId="0" xfId="0" quotePrefix="1"/>
    <xf numFmtId="0" fontId="1" fillId="0" borderId="0" xfId="0" applyFont="1" applyAlignment="1">
      <alignment vertical="top"/>
    </xf>
  </cellXfs>
  <cellStyles count="12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externalLink" Target="externalLinks/externalLink1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strRef>
          <c:f>'1DRFLAH-HYDM'!$B$31</c:f>
          <c:strCache>
            <c:ptCount val="1"/>
            <c:pt idx="0">
              <c:v>Drawdown history at 96 (feet) from pumping well </c:v>
            </c:pt>
          </c:strCache>
        </c:strRef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'1DRFLAH-HYDM'!$F$33</c:f>
              <c:strCache>
                <c:ptCount val="1"/>
                <c:pt idx="0">
                  <c:v>Drawdown (ft)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'1DRFLAH-HYDM'!$A$34:$A$44</c:f>
              <c:numCache>
                <c:formatCode>General</c:formatCode>
                <c:ptCount val="11"/>
                <c:pt idx="0">
                  <c:v>5.0</c:v>
                </c:pt>
                <c:pt idx="1">
                  <c:v>28.0</c:v>
                </c:pt>
                <c:pt idx="2">
                  <c:v>41.0</c:v>
                </c:pt>
                <c:pt idx="3">
                  <c:v>60.0</c:v>
                </c:pt>
                <c:pt idx="4">
                  <c:v>75.0</c:v>
                </c:pt>
                <c:pt idx="5">
                  <c:v>244.0</c:v>
                </c:pt>
                <c:pt idx="6">
                  <c:v>493.0</c:v>
                </c:pt>
                <c:pt idx="7">
                  <c:v>669.0</c:v>
                </c:pt>
                <c:pt idx="8">
                  <c:v>958.0</c:v>
                </c:pt>
                <c:pt idx="9">
                  <c:v>1129.0</c:v>
                </c:pt>
                <c:pt idx="10">
                  <c:v>1185.0</c:v>
                </c:pt>
              </c:numCache>
            </c:numRef>
          </c:xVal>
          <c:yVal>
            <c:numRef>
              <c:f>'1DRFLAH-HYDM'!$F$34:$F$44</c:f>
              <c:numCache>
                <c:formatCode>General</c:formatCode>
                <c:ptCount val="11"/>
                <c:pt idx="0">
                  <c:v>0.973086948679481</c:v>
                </c:pt>
                <c:pt idx="1">
                  <c:v>3.086157572899745</c:v>
                </c:pt>
                <c:pt idx="2">
                  <c:v>3.599450134375448</c:v>
                </c:pt>
                <c:pt idx="3">
                  <c:v>4.103088966555501</c:v>
                </c:pt>
                <c:pt idx="4">
                  <c:v>4.389435905079505</c:v>
                </c:pt>
                <c:pt idx="5">
                  <c:v>5.674989888208185</c:v>
                </c:pt>
                <c:pt idx="6">
                  <c:v>6.142343785843336</c:v>
                </c:pt>
                <c:pt idx="7">
                  <c:v>6.259679378330313</c:v>
                </c:pt>
                <c:pt idx="8">
                  <c:v>6.339841370215873</c:v>
                </c:pt>
                <c:pt idx="9">
                  <c:v>6.36018640699339</c:v>
                </c:pt>
                <c:pt idx="10">
                  <c:v>6.364681172008338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'1DRFLAH-HYDM'!$G$33</c:f>
              <c:strCache>
                <c:ptCount val="1"/>
                <c:pt idx="0">
                  <c:v>Observed Drawdown (ft)</c:v>
                </c:pt>
              </c:strCache>
            </c:strRef>
          </c:tx>
          <c:spPr>
            <a:ln w="47625">
              <a:noFill/>
            </a:ln>
          </c:spPr>
          <c:marker>
            <c:symbol val="circle"/>
            <c:size val="9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'1DRFLAH-HYDM'!$A$34:$A$44</c:f>
              <c:numCache>
                <c:formatCode>General</c:formatCode>
                <c:ptCount val="11"/>
                <c:pt idx="0">
                  <c:v>5.0</c:v>
                </c:pt>
                <c:pt idx="1">
                  <c:v>28.0</c:v>
                </c:pt>
                <c:pt idx="2">
                  <c:v>41.0</c:v>
                </c:pt>
                <c:pt idx="3">
                  <c:v>60.0</c:v>
                </c:pt>
                <c:pt idx="4">
                  <c:v>75.0</c:v>
                </c:pt>
                <c:pt idx="5">
                  <c:v>244.0</c:v>
                </c:pt>
                <c:pt idx="6">
                  <c:v>493.0</c:v>
                </c:pt>
                <c:pt idx="7">
                  <c:v>669.0</c:v>
                </c:pt>
                <c:pt idx="8">
                  <c:v>958.0</c:v>
                </c:pt>
                <c:pt idx="9">
                  <c:v>1129.0</c:v>
                </c:pt>
                <c:pt idx="10">
                  <c:v>1185.0</c:v>
                </c:pt>
              </c:numCache>
            </c:numRef>
          </c:xVal>
          <c:yVal>
            <c:numRef>
              <c:f>'1DRFLAH-HYDM'!$G$34:$G$44</c:f>
              <c:numCache>
                <c:formatCode>General</c:formatCode>
                <c:ptCount val="11"/>
                <c:pt idx="0">
                  <c:v>0.96</c:v>
                </c:pt>
                <c:pt idx="1">
                  <c:v>3.3</c:v>
                </c:pt>
                <c:pt idx="2">
                  <c:v>3.59</c:v>
                </c:pt>
                <c:pt idx="3">
                  <c:v>4.08</c:v>
                </c:pt>
                <c:pt idx="4">
                  <c:v>4.39</c:v>
                </c:pt>
                <c:pt idx="5">
                  <c:v>5.47</c:v>
                </c:pt>
                <c:pt idx="6">
                  <c:v>5.96</c:v>
                </c:pt>
                <c:pt idx="7">
                  <c:v>6.11</c:v>
                </c:pt>
                <c:pt idx="8">
                  <c:v>6.27</c:v>
                </c:pt>
                <c:pt idx="9">
                  <c:v>6.4</c:v>
                </c:pt>
                <c:pt idx="10">
                  <c:v>6.42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1895064"/>
        <c:axId val="-2093492872"/>
      </c:scatterChart>
      <c:valAx>
        <c:axId val="2121895064"/>
        <c:scaling>
          <c:orientation val="minMax"/>
        </c:scaling>
        <c:delete val="0"/>
        <c:axPos val="b"/>
        <c:title>
          <c:tx>
            <c:strRef>
              <c:f>'1DRFLAH-HYDM'!$A$33</c:f>
              <c:strCache>
                <c:ptCount val="1"/>
                <c:pt idx="0">
                  <c:v>Elapsed Time (min)</c:v>
                </c:pt>
              </c:strCache>
            </c:strRef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93492872"/>
        <c:crosses val="autoZero"/>
        <c:crossBetween val="midCat"/>
      </c:valAx>
      <c:valAx>
        <c:axId val="-2093492872"/>
        <c:scaling>
          <c:orientation val="minMax"/>
        </c:scaling>
        <c:delete val="0"/>
        <c:axPos val="l"/>
        <c:majorGridlines/>
        <c:title>
          <c:tx>
            <c:strRef>
              <c:f>'1DRFLAH-HYDM'!$F$33</c:f>
              <c:strCache>
                <c:ptCount val="1"/>
                <c:pt idx="0">
                  <c:v>Drawdown (ft)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212189506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660400</xdr:colOff>
      <xdr:row>0</xdr:row>
      <xdr:rowOff>101600</xdr:rowOff>
    </xdr:from>
    <xdr:to>
      <xdr:col>17</xdr:col>
      <xdr:colOff>431800</xdr:colOff>
      <xdr:row>13</xdr:row>
      <xdr:rowOff>76200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99300" y="101600"/>
          <a:ext cx="6146800" cy="2451100"/>
        </a:xfrm>
        <a:prstGeom prst="rect">
          <a:avLst/>
        </a:prstGeom>
      </xdr:spPr>
    </xdr:pic>
    <xdr:clientData/>
  </xdr:twoCellAnchor>
  <xdr:twoCellAnchor>
    <xdr:from>
      <xdr:col>10</xdr:col>
      <xdr:colOff>63500</xdr:colOff>
      <xdr:row>17</xdr:row>
      <xdr:rowOff>139700</xdr:rowOff>
    </xdr:from>
    <xdr:to>
      <xdr:col>17</xdr:col>
      <xdr:colOff>419100</xdr:colOff>
      <xdr:row>32</xdr:row>
      <xdr:rowOff>1536700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leveland/Downloads/1D_finite_pulse_advection_dispersion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Case5"/>
      <sheetName val="EEXP(Z)"/>
      <sheetName val="ERFCC(Z)"/>
      <sheetName val="ERFF(Z)"/>
    </sheetNames>
    <sheetDataSet>
      <sheetData sheetId="0"/>
      <sheetData sheetId="1">
        <row r="1">
          <cell r="A1" t="b">
            <v>1</v>
          </cell>
        </row>
      </sheetData>
      <sheetData sheetId="2">
        <row r="1">
          <cell r="E1" t="b">
            <v>1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C6"/>
  <sheetViews>
    <sheetView workbookViewId="0">
      <selection activeCell="A4" sqref="A4"/>
    </sheetView>
  </sheetViews>
  <sheetFormatPr baseColWidth="10" defaultRowHeight="15" x14ac:dyDescent="0"/>
  <cols>
    <col min="3" max="3" width="79.5" customWidth="1"/>
  </cols>
  <sheetData>
    <row r="1" spans="1:3">
      <c r="A1" t="s">
        <v>10</v>
      </c>
    </row>
    <row r="3" spans="1:3">
      <c r="A3" t="s">
        <v>11</v>
      </c>
      <c r="B3" t="s">
        <v>12</v>
      </c>
      <c r="C3" t="s">
        <v>13</v>
      </c>
    </row>
    <row r="4" spans="1:3">
      <c r="A4">
        <v>1</v>
      </c>
      <c r="B4" s="2">
        <v>42319</v>
      </c>
      <c r="C4" t="s">
        <v>14</v>
      </c>
    </row>
    <row r="5" spans="1:3">
      <c r="A5">
        <v>2</v>
      </c>
      <c r="B5" s="2">
        <v>42319</v>
      </c>
      <c r="C5" t="s">
        <v>15</v>
      </c>
    </row>
    <row r="6" spans="1:3">
      <c r="A6">
        <v>3</v>
      </c>
      <c r="B6" s="2">
        <v>42319</v>
      </c>
      <c r="C6" t="s">
        <v>16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R46"/>
  <sheetViews>
    <sheetView tabSelected="1" zoomScale="75" zoomScaleNormal="75" zoomScalePageLayoutView="75" workbookViewId="0">
      <selection activeCell="B4" sqref="B4"/>
    </sheetView>
  </sheetViews>
  <sheetFormatPr baseColWidth="10" defaultRowHeight="15" x14ac:dyDescent="0"/>
  <cols>
    <col min="1" max="1" width="13.33203125" customWidth="1"/>
    <col min="2" max="8" width="9.1640625" customWidth="1"/>
    <col min="9" max="11" width="9.33203125" customWidth="1"/>
  </cols>
  <sheetData>
    <row r="1" spans="1:11">
      <c r="A1" s="3" t="s">
        <v>31</v>
      </c>
      <c r="B1" s="4" t="s">
        <v>79</v>
      </c>
      <c r="C1" s="3"/>
      <c r="D1" s="6"/>
      <c r="E1" s="6"/>
      <c r="F1" s="6"/>
      <c r="G1" s="6"/>
      <c r="H1" s="6"/>
      <c r="I1" s="6"/>
      <c r="J1" s="6"/>
      <c r="K1" s="6"/>
    </row>
    <row r="2" spans="1:11">
      <c r="A2" s="3" t="s">
        <v>56</v>
      </c>
      <c r="B2" s="3" t="s">
        <v>57</v>
      </c>
      <c r="C2" s="3"/>
      <c r="D2" s="6"/>
      <c r="E2" s="6"/>
      <c r="F2" s="6"/>
      <c r="G2" s="6"/>
      <c r="H2" s="6"/>
      <c r="I2" s="6"/>
      <c r="J2" s="6"/>
      <c r="K2" s="6"/>
    </row>
    <row r="3" spans="1:11">
      <c r="A3" s="3" t="s">
        <v>27</v>
      </c>
      <c r="B3" s="3" t="s">
        <v>77</v>
      </c>
      <c r="C3" s="3"/>
      <c r="D3" s="6"/>
      <c r="E3" s="6"/>
      <c r="F3" s="6"/>
      <c r="G3" s="6"/>
      <c r="H3" s="6"/>
      <c r="I3" s="6"/>
      <c r="J3" s="6"/>
      <c r="K3" s="6"/>
    </row>
    <row r="4" spans="1:11">
      <c r="D4" s="6"/>
      <c r="E4" s="6"/>
      <c r="F4" s="6"/>
      <c r="G4" s="6"/>
      <c r="H4" s="6"/>
      <c r="I4" s="6"/>
      <c r="J4" s="6"/>
      <c r="K4" s="6"/>
    </row>
    <row r="5" spans="1:11">
      <c r="A5" s="3" t="s">
        <v>17</v>
      </c>
      <c r="B5" s="3"/>
      <c r="C5" s="3"/>
      <c r="D5" s="6"/>
      <c r="E5" s="6"/>
      <c r="F5" s="6"/>
      <c r="G5" s="6"/>
      <c r="H5" s="6"/>
      <c r="I5" s="6"/>
      <c r="J5" s="6"/>
      <c r="K5" s="6"/>
    </row>
    <row r="6" spans="1:11">
      <c r="A6" s="3" t="s">
        <v>19</v>
      </c>
      <c r="B6" s="3" t="s">
        <v>20</v>
      </c>
      <c r="C6" s="3"/>
      <c r="D6" s="6"/>
      <c r="E6" s="6"/>
      <c r="F6" s="6"/>
      <c r="G6" s="6"/>
      <c r="H6" s="6"/>
      <c r="I6" s="6"/>
      <c r="J6" s="6"/>
      <c r="K6" s="6"/>
    </row>
    <row r="7" spans="1:11">
      <c r="B7" s="3" t="s">
        <v>85</v>
      </c>
      <c r="E7" s="6"/>
      <c r="F7" s="6"/>
      <c r="G7" s="6"/>
      <c r="H7" s="6"/>
      <c r="I7" s="6"/>
      <c r="J7" s="6"/>
      <c r="K7" s="6"/>
    </row>
    <row r="8" spans="1:11">
      <c r="A8" s="3" t="s">
        <v>21</v>
      </c>
      <c r="B8" s="3" t="s">
        <v>58</v>
      </c>
      <c r="C8" s="3"/>
      <c r="D8" s="6"/>
      <c r="E8" s="6"/>
      <c r="F8" s="6"/>
      <c r="G8" s="6"/>
      <c r="H8" s="6"/>
      <c r="I8" s="6"/>
      <c r="J8" s="6"/>
      <c r="K8" s="6"/>
    </row>
    <row r="9" spans="1:11">
      <c r="A9" s="3"/>
      <c r="B9" s="3" t="s">
        <v>59</v>
      </c>
      <c r="C9" s="3"/>
      <c r="D9" s="6"/>
      <c r="E9" s="6"/>
      <c r="F9" s="6"/>
      <c r="G9" s="6"/>
      <c r="H9" s="6"/>
      <c r="I9" s="6"/>
      <c r="J9" s="6"/>
      <c r="K9" s="6"/>
    </row>
    <row r="10" spans="1:11">
      <c r="A10" s="3"/>
      <c r="B10" s="3" t="s">
        <v>80</v>
      </c>
      <c r="C10" s="3"/>
      <c r="D10" s="6"/>
      <c r="E10" s="6"/>
      <c r="F10" s="6"/>
      <c r="G10" s="6"/>
      <c r="H10" s="6"/>
      <c r="I10" s="6"/>
      <c r="J10" s="6"/>
      <c r="K10" s="6"/>
    </row>
    <row r="11" spans="1:11">
      <c r="A11" s="3"/>
      <c r="B11" s="3" t="s">
        <v>60</v>
      </c>
      <c r="C11" s="3"/>
      <c r="D11" s="6"/>
      <c r="E11" s="6"/>
      <c r="F11" s="6"/>
      <c r="G11" s="6"/>
      <c r="H11" s="6"/>
      <c r="I11" s="6"/>
      <c r="J11" s="6"/>
      <c r="K11" s="6"/>
    </row>
    <row r="12" spans="1:11">
      <c r="A12" s="3" t="s">
        <v>22</v>
      </c>
      <c r="B12" s="3" t="s">
        <v>78</v>
      </c>
      <c r="D12" s="3" t="s">
        <v>30</v>
      </c>
      <c r="E12" s="6"/>
      <c r="F12" s="6"/>
      <c r="G12" s="6"/>
      <c r="H12" s="6"/>
      <c r="I12" s="6"/>
      <c r="J12" s="6"/>
      <c r="K12" s="6"/>
    </row>
    <row r="13" spans="1:11">
      <c r="E13" s="6"/>
      <c r="F13" s="6"/>
      <c r="G13" s="6"/>
      <c r="H13" s="6"/>
      <c r="I13" s="6"/>
      <c r="J13" s="6"/>
      <c r="K13" s="6"/>
    </row>
    <row r="14" spans="1:11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>
      <c r="A15" s="3" t="s">
        <v>63</v>
      </c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1">
      <c r="A16" s="3" t="s">
        <v>32</v>
      </c>
      <c r="B16" s="3">
        <v>25</v>
      </c>
      <c r="C16" s="3" t="s">
        <v>33</v>
      </c>
      <c r="D16" s="3">
        <f>B16/7.48</f>
        <v>3.3422459893048124</v>
      </c>
      <c r="E16" s="10" t="s">
        <v>34</v>
      </c>
      <c r="F16" s="3">
        <f>D16*1440</f>
        <v>4812.8342245989297</v>
      </c>
      <c r="G16" s="3" t="s">
        <v>35</v>
      </c>
      <c r="H16" s="3">
        <f>D16/(3.25^3)</f>
        <v>9.736174024374511E-2</v>
      </c>
      <c r="I16" s="3" t="s">
        <v>36</v>
      </c>
      <c r="J16" s="3">
        <f>H16*1440</f>
        <v>140.20090595099296</v>
      </c>
      <c r="K16" s="3" t="s">
        <v>37</v>
      </c>
    </row>
    <row r="17" spans="1:11">
      <c r="A17" s="3" t="s">
        <v>38</v>
      </c>
      <c r="B17" s="3">
        <v>0.17219999999999999</v>
      </c>
      <c r="C17" s="3" t="s">
        <v>39</v>
      </c>
      <c r="D17" s="3">
        <f>B17*1440</f>
        <v>247.96799999999999</v>
      </c>
      <c r="E17" s="3" t="s">
        <v>40</v>
      </c>
      <c r="F17" s="3">
        <f>B17*7.48</f>
        <v>1.2880560000000001</v>
      </c>
      <c r="G17" s="3" t="s">
        <v>41</v>
      </c>
      <c r="H17" s="3">
        <f>D17/(3.28^2)</f>
        <v>23.04878048780488</v>
      </c>
      <c r="I17" s="3" t="s">
        <v>61</v>
      </c>
      <c r="J17" s="3">
        <f>H17/1440</f>
        <v>1.600609756097561E-2</v>
      </c>
      <c r="K17" s="3" t="s">
        <v>62</v>
      </c>
    </row>
    <row r="19" spans="1:11">
      <c r="A19" s="3" t="s">
        <v>42</v>
      </c>
      <c r="B19" s="3"/>
      <c r="C19" s="3"/>
      <c r="D19" s="3"/>
      <c r="E19" s="3"/>
      <c r="F19" s="6"/>
      <c r="G19" s="6"/>
      <c r="H19" s="6"/>
      <c r="I19" s="6"/>
      <c r="J19" s="6"/>
      <c r="K19" s="6"/>
    </row>
    <row r="20" spans="1:11">
      <c r="A20" s="3" t="s">
        <v>43</v>
      </c>
      <c r="B20" s="3" t="s">
        <v>44</v>
      </c>
      <c r="C20" s="3" t="s">
        <v>45</v>
      </c>
      <c r="D20" s="3" t="s">
        <v>46</v>
      </c>
      <c r="E20" s="3"/>
      <c r="F20" s="6"/>
      <c r="G20" s="6"/>
      <c r="H20" s="6"/>
      <c r="I20" s="6"/>
      <c r="J20" s="6"/>
      <c r="K20" s="6"/>
    </row>
    <row r="21" spans="1:11">
      <c r="A21" s="3" t="s">
        <v>32</v>
      </c>
      <c r="B21" s="3">
        <v>3.34</v>
      </c>
      <c r="C21" s="3" t="s">
        <v>47</v>
      </c>
      <c r="D21" s="3" t="s">
        <v>48</v>
      </c>
      <c r="E21" s="3"/>
      <c r="F21" s="6"/>
      <c r="G21" s="6"/>
      <c r="H21" s="6"/>
      <c r="I21" s="6"/>
      <c r="J21" s="6"/>
      <c r="K21" s="6"/>
    </row>
    <row r="22" spans="1:11">
      <c r="A22" s="3" t="s">
        <v>38</v>
      </c>
      <c r="B22" s="3">
        <v>0.17</v>
      </c>
      <c r="C22" s="3" t="s">
        <v>49</v>
      </c>
      <c r="D22" s="3" t="s">
        <v>50</v>
      </c>
      <c r="E22" s="3"/>
      <c r="F22" s="6"/>
      <c r="G22" s="6"/>
      <c r="H22" s="6"/>
      <c r="I22" s="6"/>
      <c r="J22" s="6"/>
      <c r="K22" s="6"/>
    </row>
    <row r="23" spans="1:11">
      <c r="A23" s="3" t="s">
        <v>51</v>
      </c>
      <c r="B23" s="3">
        <v>1.6563911372582396E-4</v>
      </c>
      <c r="C23" s="3"/>
      <c r="D23" s="3" t="s">
        <v>52</v>
      </c>
      <c r="E23" s="3"/>
      <c r="F23" s="6"/>
      <c r="G23" s="6"/>
      <c r="H23" s="6"/>
      <c r="I23" s="6"/>
      <c r="J23" s="6"/>
      <c r="K23" s="6"/>
    </row>
    <row r="24" spans="1:11">
      <c r="A24" s="3" t="s">
        <v>67</v>
      </c>
      <c r="B24" s="3">
        <v>5.658357608673422E-6</v>
      </c>
      <c r="C24" s="3" t="s">
        <v>68</v>
      </c>
      <c r="D24" s="3" t="s">
        <v>69</v>
      </c>
      <c r="E24" s="3"/>
      <c r="F24" s="6"/>
      <c r="G24" s="6"/>
      <c r="H24" s="6"/>
      <c r="I24" s="6"/>
      <c r="J24" s="6"/>
      <c r="K24" s="6"/>
    </row>
    <row r="25" spans="1:11">
      <c r="A25" s="3" t="s">
        <v>70</v>
      </c>
      <c r="B25" s="3">
        <v>14</v>
      </c>
      <c r="C25" s="3" t="s">
        <v>71</v>
      </c>
      <c r="D25" s="3" t="s">
        <v>72</v>
      </c>
      <c r="E25" s="3"/>
      <c r="F25" s="6"/>
      <c r="G25" s="6"/>
      <c r="H25" s="6"/>
      <c r="I25" s="6"/>
      <c r="J25" s="6"/>
      <c r="K25" s="6"/>
    </row>
    <row r="26" spans="1:11">
      <c r="A26" s="3" t="s">
        <v>53</v>
      </c>
      <c r="B26" s="3">
        <v>96</v>
      </c>
      <c r="C26" s="3" t="s">
        <v>54</v>
      </c>
      <c r="D26" s="3"/>
      <c r="E26" s="3"/>
      <c r="F26" s="6"/>
      <c r="G26" s="6"/>
      <c r="H26" s="6"/>
      <c r="I26" s="6"/>
      <c r="J26" s="6"/>
      <c r="K26" s="6"/>
    </row>
    <row r="27" spans="1:11">
      <c r="A27" s="3" t="s">
        <v>23</v>
      </c>
      <c r="B27" s="3"/>
      <c r="C27" s="3"/>
      <c r="D27" s="3"/>
      <c r="E27" s="3"/>
      <c r="F27" s="6"/>
      <c r="G27" s="6"/>
      <c r="H27" s="6"/>
      <c r="I27" s="6"/>
      <c r="J27" s="6"/>
      <c r="K27" s="6"/>
    </row>
    <row r="28" spans="1:11">
      <c r="A28" s="3" t="s">
        <v>73</v>
      </c>
      <c r="B28" s="3">
        <f>SQRT(B22*B25/B24)</f>
        <v>648.54972991601153</v>
      </c>
      <c r="C28" s="3"/>
      <c r="D28" s="3"/>
      <c r="E28" s="3"/>
      <c r="F28" s="6"/>
      <c r="G28" s="6"/>
      <c r="H28" s="6"/>
      <c r="I28" s="6"/>
      <c r="J28" s="6"/>
      <c r="K28" s="6"/>
    </row>
    <row r="29" spans="1:11">
      <c r="A29" s="3" t="s">
        <v>74</v>
      </c>
      <c r="B29" s="3">
        <f>B26/B28</f>
        <v>0.14802257339993372</v>
      </c>
      <c r="C29" s="3"/>
      <c r="D29" s="3"/>
      <c r="E29" s="3"/>
      <c r="F29" s="6"/>
      <c r="G29" s="6"/>
      <c r="H29" s="6"/>
      <c r="I29" s="6"/>
      <c r="J29" s="6"/>
      <c r="K29" s="6"/>
    </row>
    <row r="30" spans="1:11" ht="16">
      <c r="A30" s="3" t="s">
        <v>81</v>
      </c>
      <c r="B30" s="3">
        <f>B21/(4*PI()*B22)</f>
        <v>1.5634632644909716</v>
      </c>
      <c r="C30" s="3"/>
      <c r="D30" s="3"/>
      <c r="E30" s="3"/>
      <c r="F30" s="6"/>
      <c r="G30" s="6"/>
      <c r="H30" s="6"/>
      <c r="I30" s="6"/>
      <c r="J30" s="6"/>
      <c r="K30" s="6"/>
    </row>
    <row r="31" spans="1:11">
      <c r="A31" s="7" t="s">
        <v>18</v>
      </c>
      <c r="B31" s="3" t="str">
        <f>CONCATENATE("Drawdown history at ",B26," (feet) from pumping well ")</f>
        <v xml:space="preserve">Drawdown history at 96 (feet) from pumping well </v>
      </c>
      <c r="C31" s="3"/>
      <c r="D31" s="3"/>
      <c r="E31" s="3"/>
      <c r="F31" s="6"/>
      <c r="G31" s="6"/>
      <c r="H31" s="6"/>
      <c r="I31" s="6"/>
      <c r="J31" s="6"/>
      <c r="K31" s="6"/>
    </row>
    <row r="32" spans="1:11">
      <c r="A32" s="3" t="s">
        <v>55</v>
      </c>
      <c r="B32" s="3"/>
      <c r="C32" s="3"/>
      <c r="D32" s="3"/>
      <c r="E32" s="3"/>
      <c r="F32" s="6"/>
      <c r="G32" s="6"/>
      <c r="H32" s="6"/>
      <c r="I32" s="6"/>
      <c r="J32" s="6"/>
      <c r="K32" s="6"/>
    </row>
    <row r="33" spans="1:18" ht="128">
      <c r="A33" s="5" t="s">
        <v>65</v>
      </c>
      <c r="B33" s="8" t="s">
        <v>83</v>
      </c>
      <c r="C33" s="8" t="s">
        <v>29</v>
      </c>
      <c r="D33" s="8" t="s">
        <v>74</v>
      </c>
      <c r="E33" s="8" t="s">
        <v>76</v>
      </c>
      <c r="F33" s="1" t="s">
        <v>82</v>
      </c>
      <c r="G33" s="1" t="s">
        <v>64</v>
      </c>
      <c r="H33" s="1" t="s">
        <v>75</v>
      </c>
    </row>
    <row r="34" spans="1:18">
      <c r="A34" s="3">
        <v>5</v>
      </c>
      <c r="B34" s="3">
        <v>96</v>
      </c>
      <c r="C34" s="4">
        <f t="shared" ref="C34:C44" si="0">(B34^2*$B$23)/(4*$B$22*A34)</f>
        <v>0.44897943296976273</v>
      </c>
      <c r="D34" s="4">
        <f t="shared" ref="D34:D44" si="1">B34/$B$28</f>
        <v>0.14802257339993372</v>
      </c>
      <c r="E34" s="4">
        <f t="shared" ref="E34:E44" si="2">LEAKY(C34,D34)</f>
        <v>0.6223919491938279</v>
      </c>
      <c r="F34">
        <f>$B$30*E34</f>
        <v>0.97308694867948109</v>
      </c>
      <c r="G34" s="3">
        <v>0.96</v>
      </c>
      <c r="H34">
        <f>(F34-G34)^2</f>
        <v>1.7126822573937278E-4</v>
      </c>
    </row>
    <row r="35" spans="1:18">
      <c r="A35" s="3">
        <v>28</v>
      </c>
      <c r="B35" s="3">
        <v>96</v>
      </c>
      <c r="C35" s="4">
        <f t="shared" si="0"/>
        <v>8.0174898744600487E-2</v>
      </c>
      <c r="D35" s="4">
        <f t="shared" si="1"/>
        <v>0.14802257339993372</v>
      </c>
      <c r="E35" s="4">
        <f t="shared" si="2"/>
        <v>1.973923943716406</v>
      </c>
      <c r="F35">
        <f t="shared" ref="F35:F44" si="3">$B$30*E35</f>
        <v>3.086157572899745</v>
      </c>
      <c r="G35" s="3">
        <v>3.3</v>
      </c>
      <c r="H35">
        <f t="shared" ref="H35:H44" si="4">(F35-G35)^2</f>
        <v>4.5728583628127789E-2</v>
      </c>
    </row>
    <row r="36" spans="1:18">
      <c r="A36" s="3">
        <v>41</v>
      </c>
      <c r="B36" s="3">
        <v>96</v>
      </c>
      <c r="C36" s="4">
        <f t="shared" si="0"/>
        <v>5.4753589386556431E-2</v>
      </c>
      <c r="D36" s="4">
        <f t="shared" si="1"/>
        <v>0.14802257339993372</v>
      </c>
      <c r="E36" s="4">
        <f t="shared" si="2"/>
        <v>2.3022287866465145</v>
      </c>
      <c r="F36">
        <f t="shared" si="3"/>
        <v>3.5994501343754481</v>
      </c>
      <c r="G36" s="3">
        <v>3.59</v>
      </c>
      <c r="H36">
        <f t="shared" si="4"/>
        <v>8.9305039714029306E-5</v>
      </c>
    </row>
    <row r="37" spans="1:18">
      <c r="A37" s="3">
        <v>60</v>
      </c>
      <c r="B37" s="3">
        <v>96</v>
      </c>
      <c r="C37" s="4">
        <f t="shared" si="0"/>
        <v>3.7414952747480232E-2</v>
      </c>
      <c r="D37" s="4">
        <f t="shared" si="1"/>
        <v>0.14802257339993372</v>
      </c>
      <c r="E37" s="4">
        <f t="shared" si="2"/>
        <v>2.6243590493898648</v>
      </c>
      <c r="F37">
        <f t="shared" si="3"/>
        <v>4.103088966555501</v>
      </c>
      <c r="G37" s="3">
        <v>4.08</v>
      </c>
      <c r="H37">
        <f t="shared" si="4"/>
        <v>5.3310037660104224E-4</v>
      </c>
    </row>
    <row r="38" spans="1:18">
      <c r="A38" s="3">
        <v>75</v>
      </c>
      <c r="B38" s="3">
        <v>96</v>
      </c>
      <c r="C38" s="4">
        <f t="shared" si="0"/>
        <v>2.9931962197984181E-2</v>
      </c>
      <c r="D38" s="4">
        <f t="shared" si="1"/>
        <v>0.14802257339993372</v>
      </c>
      <c r="E38" s="4">
        <f t="shared" si="2"/>
        <v>2.8075081805702715</v>
      </c>
      <c r="F38">
        <f t="shared" si="3"/>
        <v>4.3894359050795053</v>
      </c>
      <c r="G38" s="3">
        <v>4.3899999999999997</v>
      </c>
      <c r="H38">
        <f t="shared" si="4"/>
        <v>3.18203079327541E-7</v>
      </c>
    </row>
    <row r="39" spans="1:18">
      <c r="A39" s="3">
        <v>244</v>
      </c>
      <c r="B39" s="3">
        <v>96</v>
      </c>
      <c r="C39" s="4">
        <f t="shared" si="0"/>
        <v>9.2003982165934986E-3</v>
      </c>
      <c r="D39" s="4">
        <f t="shared" si="1"/>
        <v>0.14802257339993372</v>
      </c>
      <c r="E39" s="4">
        <f t="shared" si="2"/>
        <v>3.6297558229203637</v>
      </c>
      <c r="F39">
        <f t="shared" si="3"/>
        <v>5.6749898882081853</v>
      </c>
      <c r="G39" s="3">
        <v>5.47</v>
      </c>
      <c r="H39">
        <f t="shared" si="4"/>
        <v>4.20208542676044E-2</v>
      </c>
    </row>
    <row r="40" spans="1:18">
      <c r="A40" s="3">
        <v>493</v>
      </c>
      <c r="B40" s="3">
        <v>96</v>
      </c>
      <c r="C40" s="4">
        <f t="shared" si="0"/>
        <v>4.5535439449265998E-3</v>
      </c>
      <c r="D40" s="4">
        <f t="shared" si="1"/>
        <v>0.14802257339993372</v>
      </c>
      <c r="E40" s="4">
        <f t="shared" si="2"/>
        <v>3.9286780350692445</v>
      </c>
      <c r="F40">
        <f t="shared" si="3"/>
        <v>6.1423437858433365</v>
      </c>
      <c r="G40" s="3">
        <v>5.96</v>
      </c>
      <c r="H40">
        <f t="shared" si="4"/>
        <v>3.3249256235680584E-2</v>
      </c>
      <c r="M40" s="9"/>
      <c r="N40" s="6"/>
      <c r="O40" s="6"/>
      <c r="P40" s="6"/>
      <c r="Q40" s="6"/>
      <c r="R40" s="6"/>
    </row>
    <row r="41" spans="1:18">
      <c r="A41" s="3">
        <v>669</v>
      </c>
      <c r="B41" s="3">
        <v>96</v>
      </c>
      <c r="C41" s="4">
        <f t="shared" si="0"/>
        <v>3.3556011432717696E-3</v>
      </c>
      <c r="D41" s="4">
        <f t="shared" si="1"/>
        <v>0.14802257339993372</v>
      </c>
      <c r="E41" s="4">
        <f t="shared" si="2"/>
        <v>4.0037265476578519</v>
      </c>
      <c r="F41">
        <f t="shared" si="3"/>
        <v>6.2596793783303131</v>
      </c>
      <c r="G41" s="3">
        <v>6.11</v>
      </c>
      <c r="H41">
        <f t="shared" si="4"/>
        <v>2.2403916297348898E-2</v>
      </c>
      <c r="P41" s="6"/>
    </row>
    <row r="42" spans="1:18">
      <c r="A42" s="3">
        <v>958</v>
      </c>
      <c r="B42" s="3">
        <v>96</v>
      </c>
      <c r="C42" s="4">
        <f t="shared" si="0"/>
        <v>2.3433164560008493E-3</v>
      </c>
      <c r="D42" s="4">
        <f t="shared" si="1"/>
        <v>0.14802257339993372</v>
      </c>
      <c r="E42" s="4">
        <f t="shared" si="2"/>
        <v>4.0549986137857754</v>
      </c>
      <c r="F42">
        <f t="shared" si="3"/>
        <v>6.3398413702158729</v>
      </c>
      <c r="G42" s="3">
        <v>6.27</v>
      </c>
      <c r="H42">
        <f t="shared" si="4"/>
        <v>4.8778169936306787E-3</v>
      </c>
    </row>
    <row r="43" spans="1:18">
      <c r="A43" s="3">
        <v>1129</v>
      </c>
      <c r="B43" s="3">
        <v>96</v>
      </c>
      <c r="C43" s="4">
        <f t="shared" si="0"/>
        <v>1.9883943001318101E-3</v>
      </c>
      <c r="D43" s="4">
        <f t="shared" si="1"/>
        <v>0.14802257339993372</v>
      </c>
      <c r="E43" s="4">
        <f t="shared" si="2"/>
        <v>4.0680114150709663</v>
      </c>
      <c r="F43">
        <f t="shared" si="3"/>
        <v>6.3601864069933898</v>
      </c>
      <c r="G43" s="3">
        <v>6.4</v>
      </c>
      <c r="H43">
        <f t="shared" si="4"/>
        <v>1.5851221880960309E-3</v>
      </c>
    </row>
    <row r="44" spans="1:18">
      <c r="A44" s="3">
        <v>1185</v>
      </c>
      <c r="B44" s="3">
        <v>96</v>
      </c>
      <c r="C44" s="4">
        <f t="shared" si="0"/>
        <v>1.8944279872141888E-3</v>
      </c>
      <c r="D44" s="4">
        <f t="shared" si="1"/>
        <v>0.14802257339993372</v>
      </c>
      <c r="E44" s="4">
        <f t="shared" si="2"/>
        <v>4.0708862923495266</v>
      </c>
      <c r="F44">
        <f t="shared" si="3"/>
        <v>6.3646811720083383</v>
      </c>
      <c r="G44" s="3">
        <v>6.42</v>
      </c>
      <c r="H44">
        <f t="shared" si="4"/>
        <v>3.0601727303710491E-3</v>
      </c>
    </row>
    <row r="46" spans="1:18">
      <c r="G46" t="s">
        <v>84</v>
      </c>
      <c r="H46">
        <f>SUM(H34:H44)</f>
        <v>0.1537197141859932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I5"/>
  <sheetViews>
    <sheetView workbookViewId="0">
      <selection activeCell="D10" sqref="D10"/>
    </sheetView>
  </sheetViews>
  <sheetFormatPr baseColWidth="10" defaultRowHeight="15" x14ac:dyDescent="0"/>
  <cols>
    <col min="2" max="2" width="59.83203125" customWidth="1"/>
  </cols>
  <sheetData>
    <row r="1" spans="1:9">
      <c r="A1" t="s">
        <v>0</v>
      </c>
    </row>
    <row r="2" spans="1:9">
      <c r="D2" t="s">
        <v>1</v>
      </c>
    </row>
    <row r="3" spans="1:9" ht="6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  <c r="G3" s="1" t="s">
        <v>8</v>
      </c>
      <c r="H3" s="1" t="s">
        <v>9</v>
      </c>
      <c r="I3" s="1" t="s">
        <v>28</v>
      </c>
    </row>
    <row r="4" spans="1:9">
      <c r="A4" t="s">
        <v>24</v>
      </c>
      <c r="B4" t="s">
        <v>26</v>
      </c>
      <c r="D4">
        <v>1</v>
      </c>
      <c r="H4">
        <f>W(D4)</f>
        <v>0.21938392999999995</v>
      </c>
      <c r="I4" t="s">
        <v>66</v>
      </c>
    </row>
    <row r="5" spans="1:9">
      <c r="A5" t="s">
        <v>25</v>
      </c>
      <c r="B5" t="s">
        <v>26</v>
      </c>
      <c r="D5">
        <v>1</v>
      </c>
      <c r="E5">
        <v>1</v>
      </c>
      <c r="H5">
        <f>LEAKY(D5,E5)</f>
        <v>0.18407607348524879</v>
      </c>
      <c r="I5" t="s">
        <v>86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ProgrammerNotes</vt:lpstr>
      <vt:lpstr>1DRFLAH-HYDM</vt:lpstr>
      <vt:lpstr>FunctionList</vt:lpstr>
    </vt:vector>
  </TitlesOfParts>
  <Company>Texas Tech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Theodore Cleveland</dc:creator>
  <cp:lastModifiedBy>Theodore Cleveland</cp:lastModifiedBy>
  <dcterms:created xsi:type="dcterms:W3CDTF">2015-11-11T16:31:41Z</dcterms:created>
  <dcterms:modified xsi:type="dcterms:W3CDTF">2015-11-18T17:38:31Z</dcterms:modified>
</cp:coreProperties>
</file>