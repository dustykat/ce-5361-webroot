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420" yWindow="20" windowWidth="22120" windowHeight="16460" tabRatio="566" firstSheet="1" activeTab="1"/>
  </bookViews>
  <sheets>
    <sheet name="ProgrammerNotes" sheetId="2" state="hidden" r:id="rId1"/>
    <sheet name="1DRFCAT-HYDM" sheetId="8" r:id="rId2"/>
    <sheet name="FunctionList" sheetId="1" state="hidden" r:id="rId3"/>
  </sheets>
  <functionGroups builtInGroupCount="17"/>
  <externalReferences>
    <externalReference r:id="rId4"/>
  </externalReferences>
  <definedNames>
    <definedName name="EEXP" function="1" xlm="1" functionGroupId="14">'[1]EEXP(Z)'!$A$1</definedName>
    <definedName name="erfcc" function="1" xlm="1" functionGroupId="14">'[1]ERFCC(Z)'!$E$1</definedName>
    <definedName name="solver_adj" localSheetId="1" hidden="1">'1DRFCAT-HYDM'!$B$22:$B$23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'1DRFCAT-HYDM'!$G$42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H4" i="1"/>
  <c r="B27" i="8"/>
  <c r="B26" i="8"/>
  <c r="C30" i="8"/>
  <c r="D30" i="8"/>
  <c r="E30" i="8"/>
  <c r="G30" i="8"/>
  <c r="C31" i="8"/>
  <c r="D31" i="8"/>
  <c r="E31" i="8"/>
  <c r="G31" i="8"/>
  <c r="C32" i="8"/>
  <c r="D32" i="8"/>
  <c r="E32" i="8"/>
  <c r="G32" i="8"/>
  <c r="C33" i="8"/>
  <c r="D33" i="8"/>
  <c r="E33" i="8"/>
  <c r="G33" i="8"/>
  <c r="C34" i="8"/>
  <c r="D34" i="8"/>
  <c r="E34" i="8"/>
  <c r="G34" i="8"/>
  <c r="C35" i="8"/>
  <c r="D35" i="8"/>
  <c r="E35" i="8"/>
  <c r="G35" i="8"/>
  <c r="C36" i="8"/>
  <c r="D36" i="8"/>
  <c r="E36" i="8"/>
  <c r="G36" i="8"/>
  <c r="C37" i="8"/>
  <c r="D37" i="8"/>
  <c r="E37" i="8"/>
  <c r="G37" i="8"/>
  <c r="C38" i="8"/>
  <c r="D38" i="8"/>
  <c r="E38" i="8"/>
  <c r="G38" i="8"/>
  <c r="C39" i="8"/>
  <c r="D39" i="8"/>
  <c r="E39" i="8"/>
  <c r="G39" i="8"/>
  <c r="C40" i="8"/>
  <c r="D40" i="8"/>
  <c r="E40" i="8"/>
  <c r="G40" i="8"/>
  <c r="G42" i="8"/>
  <c r="D16" i="8"/>
  <c r="H16" i="8"/>
  <c r="J16" i="8"/>
  <c r="D15" i="8"/>
  <c r="H15" i="8"/>
  <c r="F16" i="8"/>
  <c r="J15" i="8"/>
  <c r="F15" i="8"/>
</calcChain>
</file>

<file path=xl/sharedStrings.xml><?xml version="1.0" encoding="utf-8"?>
<sst xmlns="http://schemas.openxmlformats.org/spreadsheetml/2006/main" count="86" uniqueCount="82">
  <si>
    <t>List of VBA Macro functions</t>
  </si>
  <si>
    <t>ARGUMENTS</t>
  </si>
  <si>
    <t>NAME</t>
  </si>
  <si>
    <t>FUNCTION</t>
  </si>
  <si>
    <t>REFERENCE</t>
  </si>
  <si>
    <t>ARG-1</t>
  </si>
  <si>
    <t>ARG-2</t>
  </si>
  <si>
    <t>ARG-3</t>
  </si>
  <si>
    <t>ARG-4</t>
  </si>
  <si>
    <t>RESULT</t>
  </si>
  <si>
    <t>ProgrammerNotes</t>
  </si>
  <si>
    <t>NOTE_ID</t>
  </si>
  <si>
    <t>DATE</t>
  </si>
  <si>
    <t>NOTE</t>
  </si>
  <si>
    <t>Put VBA functions into a code module saved with the spreadsheet</t>
  </si>
  <si>
    <t>Coded EEXP,ERFCC, and ERFF from 1996 spreadsheets (that still work -- go figure!)</t>
  </si>
  <si>
    <t>Some built-in functions need "WorksheetFunction.NAME" to access in VBA code</t>
  </si>
  <si>
    <t xml:space="preserve">Method: </t>
  </si>
  <si>
    <t>MODEL INPUT VALUES</t>
  </si>
  <si>
    <t>Chart Title</t>
  </si>
  <si>
    <t>Author:</t>
  </si>
  <si>
    <t>Dr. T.G. Cleveland for CIVE6361/7332 Students; Spring 1995</t>
  </si>
  <si>
    <t>Notes:</t>
  </si>
  <si>
    <t>Macros:</t>
  </si>
  <si>
    <t>Computed Constants</t>
  </si>
  <si>
    <t>W(U)</t>
  </si>
  <si>
    <t>W(U,B)</t>
  </si>
  <si>
    <t>Exponential Integral</t>
  </si>
  <si>
    <t xml:space="preserve">References: </t>
  </si>
  <si>
    <t>REMARKS</t>
  </si>
  <si>
    <t>W(u)</t>
  </si>
  <si>
    <t>Well Functions contained in Module1 as local to this worksheet macros</t>
  </si>
  <si>
    <t>1D_radial_flow_confined_aquifer_transient</t>
  </si>
  <si>
    <t>Model Name</t>
  </si>
  <si>
    <t>Q</t>
  </si>
  <si>
    <t>&lt;=gpm</t>
  </si>
  <si>
    <t>&lt;=ft^3/min</t>
  </si>
  <si>
    <t>&lt;=ft^3/day</t>
  </si>
  <si>
    <t>&lt;=m^3/min</t>
  </si>
  <si>
    <t>&lt;=m^3/day</t>
  </si>
  <si>
    <t>T</t>
  </si>
  <si>
    <t>&lt;=ft^2/min</t>
  </si>
  <si>
    <t>&lt;=ft^2/day</t>
  </si>
  <si>
    <t>&lt;=gpm/ft</t>
  </si>
  <si>
    <t>Input Data (must use consistent length and time units!)</t>
  </si>
  <si>
    <t>Item</t>
  </si>
  <si>
    <t>Value</t>
  </si>
  <si>
    <t>Units</t>
  </si>
  <si>
    <t>Description</t>
  </si>
  <si>
    <t>ft^3/min</t>
  </si>
  <si>
    <t>Pumping well discharge (L^3/t)</t>
  </si>
  <si>
    <t>ft^2/min</t>
  </si>
  <si>
    <t>Aquifer transmissivity (L^2/t)</t>
  </si>
  <si>
    <t>S</t>
  </si>
  <si>
    <t>Aquifer storage coefficient</t>
  </si>
  <si>
    <t>r</t>
  </si>
  <si>
    <t>Radial distance of observation well from pumping well (L)</t>
  </si>
  <si>
    <t>Time</t>
  </si>
  <si>
    <t>Drawdown</t>
  </si>
  <si>
    <t>Model Type:</t>
  </si>
  <si>
    <t>Hydraulic Model</t>
  </si>
  <si>
    <t>Infinite Confined Aquifer</t>
  </si>
  <si>
    <t>Steady Pumping at Origin</t>
  </si>
  <si>
    <t>Computes Drawdown at radial distance, r, for different time values t</t>
  </si>
  <si>
    <t>Uses Polynomial approximation to well function (see references)</t>
  </si>
  <si>
    <t>&lt;=m^2/day</t>
  </si>
  <si>
    <t>&lt;=m^2/min</t>
  </si>
  <si>
    <t>Conversion Calculator (Use GoalSeek to find U.S Customary values for SI Units)</t>
  </si>
  <si>
    <t>u = (r^2 S / 4 T t)</t>
  </si>
  <si>
    <t>r (ft)</t>
  </si>
  <si>
    <t>Observed Drawdown (ft)</t>
  </si>
  <si>
    <t>Sq. Error</t>
  </si>
  <si>
    <t>SSE =&gt;</t>
  </si>
  <si>
    <t xml:space="preserve">Drawdown(ft) </t>
  </si>
  <si>
    <t>Elapsed Time (min)</t>
  </si>
  <si>
    <r>
      <t>Q/(4</t>
    </r>
    <r>
      <rPr>
        <sz val="12"/>
        <rFont val="Symbol"/>
      </rPr>
      <t>p</t>
    </r>
    <r>
      <rPr>
        <sz val="12"/>
        <rFont val="Calibri"/>
        <scheme val="minor"/>
      </rPr>
      <t>T)</t>
    </r>
  </si>
  <si>
    <t>Tested 11 Nov 2015 against Wenzel tabulation</t>
  </si>
  <si>
    <t>Rewrite in VBA Mac Excel 2011 Fall 2015</t>
  </si>
  <si>
    <t>Tested 11 Nov 2015 against 1995 Hunt solution</t>
  </si>
  <si>
    <t xml:space="preserve">Theis, C.V. 1935. The relation between the lowering of the piezometric surface and the rate and duration of discharge of a well using ground-water storage: American Geophysical Union Transactions, 16th Annual Meeting, v. 16, pt. 2, p. 519-524. </t>
  </si>
  <si>
    <t>Walton, W. C. 1989.  Analytical Groundwater Modeling, Flow and Contaminant Migration, Lewis Publishers, Chelsea, MI.</t>
  </si>
  <si>
    <t>Polynomial approximation ot exponential integral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</si>
</sst>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name val="Calibri"/>
      <scheme val="minor"/>
    </font>
    <font>
      <sz val="12"/>
      <name val="Symbo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2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textRotation="90"/>
    </xf>
    <xf numFmtId="15" fontId="0" fillId="0" borderId="0" xfId="0" applyNumberFormat="1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textRotation="90"/>
    </xf>
    <xf numFmtId="0" fontId="0" fillId="0" borderId="0" xfId="0" quotePrefix="1" applyFont="1"/>
    <xf numFmtId="0" fontId="0" fillId="0" borderId="0" xfId="0" applyFont="1" applyAlignment="1">
      <alignment textRotation="90"/>
    </xf>
    <xf numFmtId="0" fontId="0" fillId="0" borderId="0" xfId="0" quotePrefix="1" applyFont="1" applyAlignment="1">
      <alignment textRotation="90"/>
    </xf>
    <xf numFmtId="0" fontId="1" fillId="0" borderId="0" xfId="0" quotePrefix="1" applyFont="1" applyAlignment="1">
      <alignment textRotation="90"/>
    </xf>
    <xf numFmtId="0" fontId="1" fillId="0" borderId="0" xfId="0" applyFont="1" applyAlignment="1">
      <alignment vertical="top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vertical="top"/>
    </xf>
  </cellXfs>
  <cellStyles count="1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'1DRFCAT-HYDM'!$B$27</c:f>
          <c:strCache>
            <c:ptCount val="1"/>
            <c:pt idx="0">
              <c:v>Drawdown history at 96 (feet) from pumping well 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454005208010416"/>
          <c:y val="0.14975997758857"/>
          <c:w val="0.878099518810149"/>
          <c:h val="0.6924558909303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'1DRFCAT-HYDM'!$E$29</c:f>
              <c:strCache>
                <c:ptCount val="1"/>
                <c:pt idx="0">
                  <c:v>Drawdown(ft) </c:v>
                </c:pt>
              </c:strCache>
            </c:strRef>
          </c:tx>
          <c:spPr>
            <a:ln w="4762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'1DRFCAT-HYDM'!$A$30:$A$40</c:f>
              <c:numCache>
                <c:formatCode>General</c:formatCode>
                <c:ptCount val="11"/>
                <c:pt idx="0">
                  <c:v>5.0</c:v>
                </c:pt>
                <c:pt idx="1">
                  <c:v>28.0</c:v>
                </c:pt>
                <c:pt idx="2">
                  <c:v>41.0</c:v>
                </c:pt>
                <c:pt idx="3">
                  <c:v>60.0</c:v>
                </c:pt>
                <c:pt idx="4">
                  <c:v>75.0</c:v>
                </c:pt>
                <c:pt idx="5">
                  <c:v>244.0</c:v>
                </c:pt>
                <c:pt idx="6">
                  <c:v>493.0</c:v>
                </c:pt>
                <c:pt idx="7">
                  <c:v>669.0</c:v>
                </c:pt>
                <c:pt idx="8">
                  <c:v>958.0</c:v>
                </c:pt>
                <c:pt idx="9">
                  <c:v>1129.0</c:v>
                </c:pt>
                <c:pt idx="10">
                  <c:v>1185.0</c:v>
                </c:pt>
              </c:numCache>
            </c:numRef>
          </c:xVal>
          <c:yVal>
            <c:numRef>
              <c:f>'1DRFCAT-HYDM'!$E$30:$E$40</c:f>
              <c:numCache>
                <c:formatCode>General</c:formatCode>
                <c:ptCount val="11"/>
                <c:pt idx="0">
                  <c:v>1.034218949753132</c:v>
                </c:pt>
                <c:pt idx="1">
                  <c:v>2.755589820001014</c:v>
                </c:pt>
                <c:pt idx="2">
                  <c:v>3.175514397171071</c:v>
                </c:pt>
                <c:pt idx="3">
                  <c:v>3.600803646601836</c:v>
                </c:pt>
                <c:pt idx="4">
                  <c:v>3.852061914671005</c:v>
                </c:pt>
                <c:pt idx="5">
                  <c:v>5.19477608846597</c:v>
                </c:pt>
                <c:pt idx="6">
                  <c:v>6.001264107310613</c:v>
                </c:pt>
                <c:pt idx="7">
                  <c:v>6.351942979987756</c:v>
                </c:pt>
                <c:pt idx="8">
                  <c:v>6.764718609232339</c:v>
                </c:pt>
                <c:pt idx="9">
                  <c:v>6.953610758889658</c:v>
                </c:pt>
                <c:pt idx="10">
                  <c:v>7.009295924267805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'1DRFCAT-HYDM'!$F$29</c:f>
              <c:strCache>
                <c:ptCount val="1"/>
                <c:pt idx="0">
                  <c:v>Observed Drawdown (ft)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'1DRFCAT-HYDM'!$A$30:$A$40</c:f>
              <c:numCache>
                <c:formatCode>General</c:formatCode>
                <c:ptCount val="11"/>
                <c:pt idx="0">
                  <c:v>5.0</c:v>
                </c:pt>
                <c:pt idx="1">
                  <c:v>28.0</c:v>
                </c:pt>
                <c:pt idx="2">
                  <c:v>41.0</c:v>
                </c:pt>
                <c:pt idx="3">
                  <c:v>60.0</c:v>
                </c:pt>
                <c:pt idx="4">
                  <c:v>75.0</c:v>
                </c:pt>
                <c:pt idx="5">
                  <c:v>244.0</c:v>
                </c:pt>
                <c:pt idx="6">
                  <c:v>493.0</c:v>
                </c:pt>
                <c:pt idx="7">
                  <c:v>669.0</c:v>
                </c:pt>
                <c:pt idx="8">
                  <c:v>958.0</c:v>
                </c:pt>
                <c:pt idx="9">
                  <c:v>1129.0</c:v>
                </c:pt>
                <c:pt idx="10">
                  <c:v>1185.0</c:v>
                </c:pt>
              </c:numCache>
            </c:numRef>
          </c:xVal>
          <c:yVal>
            <c:numRef>
              <c:f>'1DRFCAT-HYDM'!$F$30:$F$40</c:f>
              <c:numCache>
                <c:formatCode>General</c:formatCode>
                <c:ptCount val="11"/>
                <c:pt idx="0">
                  <c:v>0.961550251854604</c:v>
                </c:pt>
                <c:pt idx="1">
                  <c:v>2.665980229344484</c:v>
                </c:pt>
                <c:pt idx="2">
                  <c:v>3.085508843685904</c:v>
                </c:pt>
                <c:pt idx="3">
                  <c:v>3.510970538362872</c:v>
                </c:pt>
                <c:pt idx="4">
                  <c:v>3.762523333845573</c:v>
                </c:pt>
                <c:pt idx="5">
                  <c:v>5.108185325930086</c:v>
                </c:pt>
                <c:pt idx="6">
                  <c:v>5.917009461813799</c:v>
                </c:pt>
                <c:pt idx="7">
                  <c:v>6.268764411156228</c:v>
                </c:pt>
                <c:pt idx="8">
                  <c:v>6.682835904208327</c:v>
                </c:pt>
                <c:pt idx="9">
                  <c:v>6.87232903134526</c:v>
                </c:pt>
                <c:pt idx="10">
                  <c:v>6.92819214947564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99240"/>
        <c:axId val="-2135030904"/>
      </c:scatterChart>
      <c:valAx>
        <c:axId val="2121299240"/>
        <c:scaling>
          <c:orientation val="minMax"/>
        </c:scaling>
        <c:delete val="0"/>
        <c:axPos val="b"/>
        <c:title>
          <c:tx>
            <c:strRef>
              <c:f>'1DRFCAT-HYDM'!$A$29</c:f>
              <c:strCache>
                <c:ptCount val="1"/>
                <c:pt idx="0">
                  <c:v>Elapsed Time (min)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35030904"/>
        <c:crosses val="autoZero"/>
        <c:crossBetween val="midCat"/>
      </c:valAx>
      <c:valAx>
        <c:axId val="-2135030904"/>
        <c:scaling>
          <c:orientation val="minMax"/>
        </c:scaling>
        <c:delete val="0"/>
        <c:axPos val="l"/>
        <c:majorGridlines/>
        <c:title>
          <c:tx>
            <c:strRef>
              <c:f>'1DRFCAT-HYDM'!$E$29</c:f>
              <c:strCache>
                <c:ptCount val="1"/>
                <c:pt idx="0">
                  <c:v>Drawdown(ft) 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212992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292099</xdr:colOff>
      <xdr:row>1</xdr:row>
      <xdr:rowOff>0</xdr:rowOff>
    </xdr:from>
    <xdr:to>
      <xdr:col>22</xdr:col>
      <xdr:colOff>26162</xdr:colOff>
      <xdr:row>16</xdr:row>
      <xdr:rowOff>139700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09099" y="190500"/>
          <a:ext cx="8814563" cy="32385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18</xdr:row>
      <xdr:rowOff>0</xdr:rowOff>
    </xdr:from>
    <xdr:to>
      <xdr:col>18</xdr:col>
      <xdr:colOff>584200</xdr:colOff>
      <xdr:row>35</xdr:row>
      <xdr:rowOff>38100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eveland/Downloads/1D_finite_pulse_advection_dispersion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se5"/>
      <sheetName val="EEXP(Z)"/>
      <sheetName val="ERFCC(Z)"/>
      <sheetName val="ERFF(Z)"/>
    </sheetNames>
    <sheetDataSet>
      <sheetData sheetId="0"/>
      <sheetData sheetId="1">
        <row r="1">
          <cell r="A1" t="b">
            <v>1</v>
          </cell>
        </row>
      </sheetData>
      <sheetData sheetId="2">
        <row r="1">
          <cell r="E1" t="b">
            <v>1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6"/>
  <sheetViews>
    <sheetView workbookViewId="0">
      <selection activeCell="A4" sqref="A4"/>
    </sheetView>
  </sheetViews>
  <sheetFormatPr baseColWidth="10" defaultRowHeight="15" x14ac:dyDescent="0"/>
  <cols>
    <col min="3" max="3" width="79.5" customWidth="1"/>
  </cols>
  <sheetData>
    <row r="1" spans="1:3">
      <c r="A1" t="s">
        <v>10</v>
      </c>
    </row>
    <row r="3" spans="1:3">
      <c r="A3" t="s">
        <v>11</v>
      </c>
      <c r="B3" t="s">
        <v>12</v>
      </c>
      <c r="C3" t="s">
        <v>13</v>
      </c>
    </row>
    <row r="4" spans="1:3">
      <c r="A4">
        <v>1</v>
      </c>
      <c r="B4" s="2">
        <v>42319</v>
      </c>
      <c r="C4" t="s">
        <v>14</v>
      </c>
    </row>
    <row r="5" spans="1:3">
      <c r="A5">
        <v>2</v>
      </c>
      <c r="B5" s="2">
        <v>42319</v>
      </c>
      <c r="C5" t="s">
        <v>15</v>
      </c>
    </row>
    <row r="6" spans="1:3">
      <c r="A6">
        <v>3</v>
      </c>
      <c r="B6" s="2">
        <v>42319</v>
      </c>
      <c r="C6" t="s">
        <v>16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43"/>
  <sheetViews>
    <sheetView tabSelected="1" zoomScale="75" zoomScaleNormal="75" zoomScalePageLayoutView="75" workbookViewId="0">
      <selection activeCell="T29" sqref="T29"/>
    </sheetView>
  </sheetViews>
  <sheetFormatPr baseColWidth="10" defaultRowHeight="15" x14ac:dyDescent="0"/>
  <cols>
    <col min="1" max="1" width="12.6640625" customWidth="1"/>
    <col min="2" max="2" width="9.1640625" customWidth="1"/>
    <col min="3" max="3" width="9.5" customWidth="1"/>
    <col min="5" max="5" width="10.33203125" customWidth="1"/>
    <col min="6" max="6" width="11.6640625" customWidth="1"/>
  </cols>
  <sheetData>
    <row r="1" spans="1:12">
      <c r="A1" s="3" t="s">
        <v>33</v>
      </c>
      <c r="B1" s="4" t="s">
        <v>32</v>
      </c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>
      <c r="A2" s="3" t="s">
        <v>59</v>
      </c>
      <c r="B2" s="3" t="s">
        <v>60</v>
      </c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31" customHeight="1">
      <c r="A3" s="10" t="s">
        <v>28</v>
      </c>
      <c r="B3" s="11" t="s">
        <v>79</v>
      </c>
      <c r="C3" s="11"/>
      <c r="D3" s="11"/>
      <c r="E3" s="11"/>
      <c r="F3" s="11"/>
      <c r="G3" s="11"/>
      <c r="H3" s="11"/>
      <c r="I3" s="11"/>
      <c r="J3" s="11"/>
      <c r="K3" s="11"/>
      <c r="L3" s="3"/>
    </row>
    <row r="4" spans="1:12" ht="18" customHeight="1">
      <c r="A4" s="3"/>
      <c r="B4" s="12" t="s">
        <v>80</v>
      </c>
      <c r="C4" s="12"/>
      <c r="D4" s="12"/>
      <c r="E4" s="12"/>
      <c r="F4" s="12"/>
      <c r="G4" s="12"/>
      <c r="H4" s="12"/>
      <c r="I4" s="12"/>
      <c r="J4" s="12"/>
      <c r="K4" s="12"/>
      <c r="L4" s="3"/>
    </row>
    <row r="5" spans="1:12">
      <c r="A5" s="3" t="s">
        <v>17</v>
      </c>
      <c r="B5" s="3" t="s">
        <v>81</v>
      </c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 t="s">
        <v>20</v>
      </c>
      <c r="B6" s="3" t="s">
        <v>21</v>
      </c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B7" s="3" t="s">
        <v>77</v>
      </c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 t="s">
        <v>22</v>
      </c>
      <c r="B8" s="3" t="s">
        <v>61</v>
      </c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>
      <c r="A9" s="3"/>
      <c r="B9" s="3" t="s">
        <v>62</v>
      </c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>
      <c r="A10" s="3"/>
      <c r="B10" s="3" t="s">
        <v>63</v>
      </c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>
      <c r="A11" s="3"/>
      <c r="B11" s="3" t="s">
        <v>64</v>
      </c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 t="s">
        <v>23</v>
      </c>
      <c r="B12" s="3" t="s">
        <v>25</v>
      </c>
      <c r="C12" s="3" t="s">
        <v>31</v>
      </c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 t="s">
        <v>67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 t="s">
        <v>34</v>
      </c>
      <c r="B15" s="3">
        <v>25</v>
      </c>
      <c r="C15" s="3" t="s">
        <v>35</v>
      </c>
      <c r="D15" s="3">
        <f>B15/7.48</f>
        <v>3.3422459893048124</v>
      </c>
      <c r="E15" s="3" t="s">
        <v>36</v>
      </c>
      <c r="F15" s="3">
        <f>D15*1440</f>
        <v>4812.8342245989297</v>
      </c>
      <c r="G15" s="3" t="s">
        <v>37</v>
      </c>
      <c r="H15" s="3">
        <f>D15/(3.28^3)</f>
        <v>9.4714589136271427E-2</v>
      </c>
      <c r="I15" s="3" t="s">
        <v>38</v>
      </c>
      <c r="J15" s="3">
        <f>H15*1440</f>
        <v>136.38900835623085</v>
      </c>
      <c r="K15" s="3" t="s">
        <v>39</v>
      </c>
      <c r="L15" s="3"/>
    </row>
    <row r="16" spans="1:12">
      <c r="A16" s="3" t="s">
        <v>40</v>
      </c>
      <c r="B16" s="3">
        <v>0.76</v>
      </c>
      <c r="C16" s="3" t="s">
        <v>41</v>
      </c>
      <c r="D16" s="3">
        <f>B16*1440</f>
        <v>1094.4000000000001</v>
      </c>
      <c r="E16" s="3" t="s">
        <v>42</v>
      </c>
      <c r="F16" s="3">
        <f>B16*7.48</f>
        <v>5.6848000000000001</v>
      </c>
      <c r="G16" s="3" t="s">
        <v>43</v>
      </c>
      <c r="H16" s="3">
        <f>D16/(3.28^2)</f>
        <v>101.72516359309937</v>
      </c>
      <c r="I16" s="3" t="s">
        <v>65</v>
      </c>
      <c r="J16" s="3">
        <f>H16/1440</f>
        <v>7.0642474717430112E-2</v>
      </c>
      <c r="K16" s="3" t="s">
        <v>66</v>
      </c>
      <c r="L16" s="3"/>
    </row>
    <row r="17" spans="1:1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3"/>
    </row>
    <row r="18" spans="1:12">
      <c r="A18" s="3" t="s">
        <v>18</v>
      </c>
      <c r="B18" s="3"/>
      <c r="C18" s="3"/>
      <c r="D18" s="4"/>
      <c r="E18" s="4"/>
      <c r="F18" s="4"/>
      <c r="G18" s="4"/>
      <c r="H18" s="3"/>
      <c r="I18" s="3"/>
      <c r="J18" s="3"/>
      <c r="K18" s="3"/>
      <c r="L18" s="3"/>
    </row>
    <row r="19" spans="1:12">
      <c r="A19" s="3" t="s">
        <v>44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 t="s">
        <v>45</v>
      </c>
      <c r="B20" s="3" t="s">
        <v>46</v>
      </c>
      <c r="C20" s="3" t="s">
        <v>47</v>
      </c>
      <c r="D20" s="3" t="s">
        <v>48</v>
      </c>
      <c r="E20" s="3"/>
      <c r="F20" s="3"/>
      <c r="G20" s="3"/>
      <c r="H20" s="3"/>
      <c r="I20" s="3"/>
      <c r="J20" s="3"/>
      <c r="K20" s="3"/>
      <c r="L20" s="3"/>
    </row>
    <row r="21" spans="1:12">
      <c r="A21" s="3" t="s">
        <v>34</v>
      </c>
      <c r="B21" s="3">
        <v>11</v>
      </c>
      <c r="C21" s="3" t="s">
        <v>49</v>
      </c>
      <c r="D21" s="3" t="s">
        <v>50</v>
      </c>
      <c r="E21" s="3"/>
      <c r="F21" s="3"/>
      <c r="G21" s="3"/>
      <c r="H21" s="3"/>
      <c r="I21" s="3"/>
      <c r="J21" s="3"/>
      <c r="K21" s="3"/>
      <c r="L21" s="3"/>
    </row>
    <row r="22" spans="1:12">
      <c r="A22" s="3" t="s">
        <v>40</v>
      </c>
      <c r="B22" s="3">
        <v>0.76</v>
      </c>
      <c r="C22" s="3" t="s">
        <v>51</v>
      </c>
      <c r="D22" s="3" t="s">
        <v>52</v>
      </c>
      <c r="E22" s="3"/>
      <c r="F22" s="3"/>
      <c r="G22" s="3"/>
      <c r="H22" s="3"/>
      <c r="I22" s="3"/>
      <c r="J22" s="3"/>
      <c r="K22" s="3"/>
      <c r="L22" s="3"/>
    </row>
    <row r="23" spans="1:12">
      <c r="A23" s="3" t="s">
        <v>53</v>
      </c>
      <c r="B23" s="3">
        <v>5.0000000000000001E-4</v>
      </c>
      <c r="C23" s="3"/>
      <c r="D23" s="3" t="s">
        <v>54</v>
      </c>
      <c r="E23" s="3"/>
      <c r="F23" s="3"/>
      <c r="G23" s="3"/>
      <c r="H23" s="3"/>
      <c r="I23" s="3"/>
      <c r="J23" s="3"/>
      <c r="K23" s="3"/>
      <c r="L23" s="3"/>
    </row>
    <row r="24" spans="1:12">
      <c r="A24" s="3" t="s">
        <v>55</v>
      </c>
      <c r="B24" s="3">
        <v>96</v>
      </c>
      <c r="C24" s="3" t="s">
        <v>56</v>
      </c>
      <c r="D24" s="3"/>
      <c r="E24" s="3"/>
      <c r="F24" s="3"/>
      <c r="G24" s="3"/>
      <c r="H24" s="3"/>
      <c r="I24" s="3"/>
      <c r="J24" s="3"/>
      <c r="K24" s="3"/>
      <c r="L24" s="3"/>
    </row>
    <row r="25" spans="1:12">
      <c r="A25" s="3" t="s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ht="16">
      <c r="A26" s="3" t="s">
        <v>75</v>
      </c>
      <c r="B26" s="3">
        <f>B21/(4*PI()*B22)</f>
        <v>1.15177919342819</v>
      </c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>
      <c r="A27" s="6" t="s">
        <v>19</v>
      </c>
      <c r="B27" s="3" t="str">
        <f>CONCATENATE("Drawdown history at ",B24," (feet) from pumping well ")</f>
        <v xml:space="preserve">Drawdown history at 96 (feet) from pumping well </v>
      </c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>
      <c r="A28" s="3" t="s">
        <v>57</v>
      </c>
      <c r="B28" s="3" t="s">
        <v>58</v>
      </c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ht="128">
      <c r="A29" s="5" t="s">
        <v>74</v>
      </c>
      <c r="B29" s="7" t="s">
        <v>69</v>
      </c>
      <c r="C29" s="8" t="s">
        <v>68</v>
      </c>
      <c r="D29" s="9" t="s">
        <v>30</v>
      </c>
      <c r="E29" s="5" t="s">
        <v>73</v>
      </c>
      <c r="F29" s="5" t="s">
        <v>70</v>
      </c>
      <c r="G29" s="5" t="s">
        <v>71</v>
      </c>
      <c r="H29" s="3"/>
      <c r="I29" s="3"/>
      <c r="J29" s="3"/>
      <c r="K29" s="3"/>
      <c r="L29" s="3"/>
    </row>
    <row r="30" spans="1:12">
      <c r="A30" s="3">
        <v>5</v>
      </c>
      <c r="B30" s="4">
        <v>96</v>
      </c>
      <c r="C30" s="4">
        <f>(B30^2*$B$23)/(4*$B$22*A30)</f>
        <v>0.30315789473684218</v>
      </c>
      <c r="D30" s="4">
        <f>W(C30)</f>
        <v>0.89793161367575303</v>
      </c>
      <c r="E30" s="4">
        <f>$B$26*D30</f>
        <v>1.034218949753132</v>
      </c>
      <c r="F30" s="3">
        <v>0.96155025185460385</v>
      </c>
      <c r="G30" s="4">
        <f>(E30-F30)^2</f>
        <v>5.2807396542675486E-3</v>
      </c>
      <c r="H30" s="4"/>
      <c r="I30" s="4"/>
      <c r="J30" s="4"/>
      <c r="K30" s="4"/>
      <c r="L30" s="4"/>
    </row>
    <row r="31" spans="1:12">
      <c r="A31" s="3">
        <v>28</v>
      </c>
      <c r="B31" s="4">
        <v>96</v>
      </c>
      <c r="C31" s="4">
        <f t="shared" ref="C31:C40" si="0">(B31^2*$B$23)/(4*$B$22*A31)</f>
        <v>5.4135338345864668E-2</v>
      </c>
      <c r="D31" s="4">
        <f t="shared" ref="D31:D40" si="1">W(C31)</f>
        <v>2.3924636212598998</v>
      </c>
      <c r="E31" s="4">
        <f t="shared" ref="E31:E40" si="2">$B$26*D31</f>
        <v>2.7555898200010138</v>
      </c>
      <c r="F31" s="3">
        <v>2.6659802293444845</v>
      </c>
      <c r="G31" s="4">
        <f t="shared" ref="G31:G40" si="3">(E31-F31)^2</f>
        <v>8.0298787376307419E-3</v>
      </c>
      <c r="H31" s="4"/>
      <c r="I31" s="4"/>
      <c r="J31" s="4"/>
      <c r="K31" s="4"/>
      <c r="L31" s="4"/>
    </row>
    <row r="32" spans="1:12">
      <c r="A32" s="3">
        <v>41</v>
      </c>
      <c r="B32" s="4">
        <v>96</v>
      </c>
      <c r="C32" s="4">
        <f t="shared" si="0"/>
        <v>3.6970474967907577E-2</v>
      </c>
      <c r="D32" s="4">
        <f t="shared" si="1"/>
        <v>2.7570513647840569</v>
      </c>
      <c r="E32" s="4">
        <f t="shared" si="2"/>
        <v>3.1755143971710713</v>
      </c>
      <c r="F32" s="3">
        <v>3.0855088436859037</v>
      </c>
      <c r="G32" s="4">
        <f t="shared" si="3"/>
        <v>8.100999658171364E-3</v>
      </c>
      <c r="H32" s="4"/>
      <c r="I32" s="4"/>
      <c r="J32" s="4"/>
      <c r="K32" s="4"/>
      <c r="L32" s="4"/>
    </row>
    <row r="33" spans="1:12">
      <c r="A33" s="3">
        <v>60</v>
      </c>
      <c r="B33" s="4">
        <v>96</v>
      </c>
      <c r="C33" s="4">
        <f t="shared" si="0"/>
        <v>2.5263157894736845E-2</v>
      </c>
      <c r="D33" s="4">
        <f t="shared" si="1"/>
        <v>3.1262968346253044</v>
      </c>
      <c r="E33" s="4">
        <f t="shared" si="2"/>
        <v>3.6008036466018365</v>
      </c>
      <c r="F33" s="3">
        <v>3.5109705383628724</v>
      </c>
      <c r="G33" s="4">
        <f t="shared" si="3"/>
        <v>8.0699873358734339E-3</v>
      </c>
      <c r="H33" s="4"/>
      <c r="I33" s="4"/>
      <c r="J33" s="4"/>
      <c r="K33" s="4"/>
      <c r="L33" s="4"/>
    </row>
    <row r="34" spans="1:12">
      <c r="A34" s="3">
        <v>75</v>
      </c>
      <c r="B34" s="4">
        <v>96</v>
      </c>
      <c r="C34" s="4">
        <f t="shared" si="0"/>
        <v>2.0210526315789477E-2</v>
      </c>
      <c r="D34" s="4">
        <f t="shared" si="1"/>
        <v>3.3444447830365926</v>
      </c>
      <c r="E34" s="4">
        <f t="shared" si="2"/>
        <v>3.8520619146710047</v>
      </c>
      <c r="F34" s="3">
        <v>3.7625233338455732</v>
      </c>
      <c r="G34" s="4">
        <f t="shared" si="3"/>
        <v>8.0171574562323163E-3</v>
      </c>
      <c r="H34" s="4"/>
      <c r="I34" s="4"/>
      <c r="J34" s="4"/>
      <c r="K34" s="4"/>
      <c r="L34" s="4"/>
    </row>
    <row r="35" spans="1:12">
      <c r="A35" s="3">
        <v>244</v>
      </c>
      <c r="B35" s="4">
        <v>96</v>
      </c>
      <c r="C35" s="4">
        <f t="shared" si="0"/>
        <v>6.2122519413287322E-3</v>
      </c>
      <c r="D35" s="4">
        <f t="shared" si="1"/>
        <v>4.5102187277789616</v>
      </c>
      <c r="E35" s="4">
        <f t="shared" si="2"/>
        <v>5.1947760884659697</v>
      </c>
      <c r="F35" s="3">
        <v>5.1081853259300862</v>
      </c>
      <c r="G35" s="4">
        <f t="shared" si="3"/>
        <v>7.4979601565457639E-3</v>
      </c>
      <c r="H35" s="4"/>
      <c r="I35" s="4"/>
      <c r="J35" s="4"/>
      <c r="K35" s="4"/>
      <c r="L35" s="4"/>
    </row>
    <row r="36" spans="1:12">
      <c r="A36" s="3">
        <v>493</v>
      </c>
      <c r="B36" s="4">
        <v>96</v>
      </c>
      <c r="C36" s="4">
        <f t="shared" si="0"/>
        <v>3.0746236788726381E-3</v>
      </c>
      <c r="D36" s="4">
        <f t="shared" si="1"/>
        <v>5.2104293440553233</v>
      </c>
      <c r="E36" s="4">
        <f t="shared" si="2"/>
        <v>6.0012641073106137</v>
      </c>
      <c r="F36" s="3">
        <v>5.9170094618137989</v>
      </c>
      <c r="G36" s="4">
        <f t="shared" si="3"/>
        <v>7.0988452877939201E-3</v>
      </c>
      <c r="H36" s="4"/>
      <c r="I36" s="4"/>
      <c r="J36" s="4"/>
      <c r="K36" s="4"/>
      <c r="L36" s="4"/>
    </row>
    <row r="37" spans="1:12">
      <c r="A37" s="3">
        <v>669</v>
      </c>
      <c r="B37" s="4">
        <v>96</v>
      </c>
      <c r="C37" s="4">
        <f t="shared" si="0"/>
        <v>2.2657540712768473E-3</v>
      </c>
      <c r="D37" s="4">
        <f t="shared" si="1"/>
        <v>5.5148964456300371</v>
      </c>
      <c r="E37" s="4">
        <f t="shared" si="2"/>
        <v>6.351942979987756</v>
      </c>
      <c r="F37" s="3">
        <v>6.2687644111562282</v>
      </c>
      <c r="G37" s="4">
        <f t="shared" si="3"/>
        <v>6.9186743128612175E-3</v>
      </c>
      <c r="H37" s="4"/>
      <c r="I37" s="4"/>
      <c r="J37" s="4"/>
      <c r="K37" s="4"/>
      <c r="L37" s="4"/>
    </row>
    <row r="38" spans="1:12">
      <c r="A38" s="3">
        <v>958</v>
      </c>
      <c r="B38" s="4">
        <v>96</v>
      </c>
      <c r="C38" s="4">
        <f t="shared" si="0"/>
        <v>1.5822437094824746E-3</v>
      </c>
      <c r="D38" s="4">
        <f t="shared" si="1"/>
        <v>5.8732773155049172</v>
      </c>
      <c r="E38" s="4">
        <f t="shared" si="2"/>
        <v>6.7647186092323386</v>
      </c>
      <c r="F38" s="3">
        <v>6.6828359042083267</v>
      </c>
      <c r="G38" s="4">
        <f t="shared" si="3"/>
        <v>6.7047773820493352E-3</v>
      </c>
      <c r="H38" s="4"/>
      <c r="I38" s="4"/>
      <c r="J38" s="4"/>
      <c r="K38" s="4"/>
      <c r="L38" s="4"/>
    </row>
    <row r="39" spans="1:12">
      <c r="A39" s="3">
        <v>1129</v>
      </c>
      <c r="B39" s="4">
        <v>96</v>
      </c>
      <c r="C39" s="4">
        <f t="shared" si="0"/>
        <v>1.3425947508274674E-3</v>
      </c>
      <c r="D39" s="4">
        <f t="shared" si="1"/>
        <v>6.0372776297449198</v>
      </c>
      <c r="E39" s="4">
        <f t="shared" si="2"/>
        <v>6.9536107588896581</v>
      </c>
      <c r="F39" s="3">
        <v>6.8723290313452603</v>
      </c>
      <c r="G39" s="4">
        <f t="shared" si="3"/>
        <v>6.6067192326017118E-3</v>
      </c>
      <c r="H39" s="4"/>
      <c r="I39" s="4"/>
      <c r="J39" s="4"/>
      <c r="K39" s="4"/>
      <c r="L39" s="4"/>
    </row>
    <row r="40" spans="1:12">
      <c r="A40" s="3">
        <v>1185</v>
      </c>
      <c r="B40" s="4">
        <v>96</v>
      </c>
      <c r="C40" s="4">
        <f t="shared" si="0"/>
        <v>1.279147235176549E-3</v>
      </c>
      <c r="D40" s="4">
        <f t="shared" si="1"/>
        <v>6.085624713713683</v>
      </c>
      <c r="E40" s="4">
        <f t="shared" si="2"/>
        <v>7.0092959242678052</v>
      </c>
      <c r="F40" s="3">
        <v>6.9281921494756391</v>
      </c>
      <c r="G40" s="4">
        <f t="shared" si="3"/>
        <v>6.5778222855384016E-3</v>
      </c>
      <c r="H40" s="4"/>
      <c r="I40" s="4"/>
      <c r="J40" s="4"/>
      <c r="K40" s="4"/>
      <c r="L40" s="4"/>
    </row>
    <row r="41" spans="1:1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>
      <c r="A42" s="4"/>
      <c r="B42" s="4"/>
      <c r="C42" s="4"/>
      <c r="D42" s="4"/>
      <c r="E42" s="4"/>
      <c r="F42" s="4" t="s">
        <v>72</v>
      </c>
      <c r="G42" s="4">
        <f>SUM(G30:G40)</f>
        <v>7.8903561499565747E-2</v>
      </c>
      <c r="H42" s="4"/>
      <c r="I42" s="4"/>
      <c r="J42" s="4"/>
      <c r="K42" s="4"/>
      <c r="L42" s="4"/>
    </row>
    <row r="43" spans="1:1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</sheetData>
  <mergeCells count="1">
    <mergeCell ref="B3:K3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5"/>
  <sheetViews>
    <sheetView workbookViewId="0">
      <selection activeCell="D10" sqref="D10"/>
    </sheetView>
  </sheetViews>
  <sheetFormatPr baseColWidth="10" defaultRowHeight="15" x14ac:dyDescent="0"/>
  <cols>
    <col min="2" max="2" width="59.83203125" customWidth="1"/>
  </cols>
  <sheetData>
    <row r="1" spans="1:9">
      <c r="A1" t="s">
        <v>0</v>
      </c>
    </row>
    <row r="2" spans="1:9">
      <c r="D2" t="s">
        <v>1</v>
      </c>
    </row>
    <row r="3" spans="1:9" ht="6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29</v>
      </c>
    </row>
    <row r="4" spans="1:9">
      <c r="A4" t="s">
        <v>25</v>
      </c>
      <c r="B4" t="s">
        <v>27</v>
      </c>
      <c r="D4">
        <v>1</v>
      </c>
      <c r="H4">
        <f>W(D4)</f>
        <v>0.21938392999999995</v>
      </c>
      <c r="I4" t="s">
        <v>76</v>
      </c>
    </row>
    <row r="5" spans="1:9">
      <c r="A5" t="s">
        <v>26</v>
      </c>
      <c r="B5" t="s">
        <v>27</v>
      </c>
      <c r="D5">
        <v>1</v>
      </c>
      <c r="E5">
        <v>1</v>
      </c>
      <c r="H5">
        <f>LEAKY(D5,E5)</f>
        <v>0.18407607348524879</v>
      </c>
      <c r="I5" t="s">
        <v>78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ProgrammerNotes</vt:lpstr>
      <vt:lpstr>1DRFCAT-HYDM</vt:lpstr>
      <vt:lpstr>FunctionList</vt:lpstr>
    </vt:vector>
  </TitlesOfParts>
  <Company>Texas Tech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Cleveland</dc:creator>
  <cp:lastModifiedBy>Theodore Cleveland</cp:lastModifiedBy>
  <dcterms:created xsi:type="dcterms:W3CDTF">2015-11-11T16:31:41Z</dcterms:created>
  <dcterms:modified xsi:type="dcterms:W3CDTF">2015-11-18T16:58:21Z</dcterms:modified>
</cp:coreProperties>
</file>